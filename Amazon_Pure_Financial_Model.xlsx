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DATA" sheetId="1" state="visible" r:id="rId1"/>
    <sheet name="INCOME_STATEMENT" sheetId="2" state="visible" r:id="rId2"/>
    <sheet name="BALANCE_SHEET" sheetId="3" state="visible" r:id="rId3"/>
    <sheet name="CASH_FLOW_STATEMENT" sheetId="4" state="visible" r:id="rId4"/>
    <sheet name="KPI_DASHBOARD" sheetId="5" state="visible" r:id="rId5"/>
  </sheets>
  <definedNames>
    <definedName name="_xlnm._FilterDatabase" localSheetId="0" hidden="1">'INPUTS_DATA'!$A$4:$B$19</definedName>
    <definedName name="_xlnm._FilterDatabase" localSheetId="1" hidden="1">'INCOME_STATEMENT'!$A$4:$B$14</definedName>
    <definedName name="_xlnm._FilterDatabase" localSheetId="2" hidden="1">'BALANCE_SHEET'!$A$4:$B$11</definedName>
    <definedName name="_xlnm._FilterDatabase" localSheetId="3" hidden="1">'CASH_FLOW_STATEMENT'!$A$4:$B$14</definedName>
    <definedName name="_xlnm._FilterDatabase" localSheetId="4" hidden="1">'KPI_DASHBOARD'!$A$4:$B$10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B6770"/>
    </font>
    <font>
      <b val="1"/>
      <color rgb="0017324D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2CC"/>
      </patternFill>
    </fill>
    <fill>
      <patternFill patternType="solid">
        <fgColor rgb="002C6E8F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4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4" fontId="0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Statement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'INCOME_STATEMENT'!$A$7:$A$14</f>
            </numRef>
          </cat>
          <val>
            <numRef>
              <f>'INCOME_STATEMENT'!$B$7:$B$14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Automated Financial Engine | Inputs &amp; Amazon Data</t>
        </is>
      </c>
      <c r="B1" s="2" t="n"/>
    </row>
    <row r="2">
      <c r="A2" s="3" t="inlineStr">
        <is>
          <t>Amazon Summary Report</t>
        </is>
      </c>
      <c r="B2" s="2" t="n"/>
    </row>
    <row r="4">
      <c r="A4" s="4" t="inlineStr">
        <is>
          <t>Metric</t>
        </is>
      </c>
      <c r="B4" s="4" t="inlineStr">
        <is>
          <t>Value</t>
        </is>
      </c>
    </row>
    <row r="5">
      <c r="A5" t="inlineStr">
        <is>
          <t>Gross Sales</t>
        </is>
      </c>
      <c r="B5" s="5" t="n">
        <v>74605.28</v>
      </c>
    </row>
    <row r="6">
      <c r="A6" t="inlineStr">
        <is>
          <t>Refunds</t>
        </is>
      </c>
      <c r="B6" s="5" t="n">
        <v>-11533.7</v>
      </c>
    </row>
    <row r="7">
      <c r="A7" t="inlineStr">
        <is>
          <t>Amazon Selling Fees</t>
        </is>
      </c>
      <c r="B7" s="5" t="n">
        <v>12315.54</v>
      </c>
    </row>
    <row r="8">
      <c r="A8" t="inlineStr">
        <is>
          <t>PPC Spend</t>
        </is>
      </c>
      <c r="B8" s="5" t="n">
        <v>13087.64</v>
      </c>
    </row>
    <row r="9">
      <c r="A9" t="inlineStr">
        <is>
          <t>Storage Fees</t>
        </is>
      </c>
      <c r="B9" s="5" t="n">
        <v>4495.610000000001</v>
      </c>
    </row>
    <row r="10">
      <c r="A10" t="inlineStr">
        <is>
          <t>Amazon Settlements / Payouts</t>
        </is>
      </c>
      <c r="B10" s="5" t="n">
        <v>-22772.1</v>
      </c>
    </row>
    <row r="11">
      <c r="A11" t="inlineStr">
        <is>
          <t>COGS</t>
        </is>
      </c>
      <c r="B11" s="5" t="n">
        <v>30863.2</v>
      </c>
    </row>
    <row r="12">
      <c r="A12" t="inlineStr">
        <is>
          <t>COGS per Unit</t>
        </is>
      </c>
      <c r="B12" s="5" t="n">
        <v>11.15</v>
      </c>
    </row>
    <row r="13">
      <c r="A13" t="inlineStr">
        <is>
          <t>Units Sold Qty</t>
        </is>
      </c>
      <c r="B13" s="6" t="n">
        <v>2768</v>
      </c>
    </row>
    <row r="14">
      <c r="A14" s="7" t="inlineStr">
        <is>
          <t>Manual non-Amazon inputs</t>
        </is>
      </c>
      <c r="B14" s="5" t="n"/>
    </row>
    <row r="15">
      <c r="A15" t="inlineStr">
        <is>
          <t>Salaries</t>
        </is>
      </c>
      <c r="B15" s="8" t="n">
        <v>2150</v>
      </c>
    </row>
    <row r="16">
      <c r="A16" t="inlineStr">
        <is>
          <t>External Supplier Cash Outflows</t>
        </is>
      </c>
      <c r="B16" s="8" t="n">
        <v>37099</v>
      </c>
    </row>
    <row r="17">
      <c r="A17" t="inlineStr">
        <is>
          <t>Owner Drawings</t>
        </is>
      </c>
      <c r="B17" s="8" t="n">
        <v>1899.24</v>
      </c>
    </row>
    <row r="18">
      <c r="A18" t="inlineStr">
        <is>
          <t>Asset Purchases</t>
        </is>
      </c>
      <c r="B18" s="8" t="n">
        <v>5402.44</v>
      </c>
    </row>
    <row r="19">
      <c r="A19" t="inlineStr">
        <is>
          <t>Opening Bank Balance</t>
        </is>
      </c>
      <c r="B19" s="8" t="n">
        <v>39638.29</v>
      </c>
    </row>
  </sheetData>
  <autoFilter ref="A4:B19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Accrual Income Statement</t>
        </is>
      </c>
      <c r="B1" s="2" t="n"/>
    </row>
    <row r="2">
      <c r="A2" s="3" t="inlineStr">
        <is>
          <t>Amazon Summary Report</t>
        </is>
      </c>
      <c r="B2" s="2" t="n"/>
    </row>
    <row r="4">
      <c r="A4" s="4" t="inlineStr">
        <is>
          <t>Line Item</t>
        </is>
      </c>
      <c r="B4" s="4" t="inlineStr">
        <is>
          <t>Value</t>
        </is>
      </c>
    </row>
    <row r="5">
      <c r="A5" t="inlineStr">
        <is>
          <t>Gross Sales</t>
        </is>
      </c>
      <c r="B5" s="5" t="n">
        <v>74605.28</v>
      </c>
    </row>
    <row r="6">
      <c r="A6" t="inlineStr">
        <is>
          <t>Refunds</t>
        </is>
      </c>
      <c r="B6" s="5" t="n">
        <v>-11533.7</v>
      </c>
    </row>
    <row r="7">
      <c r="A7" s="9" t="inlineStr">
        <is>
          <t>Net Revenue</t>
        </is>
      </c>
      <c r="B7" s="10" t="n">
        <v>63071.58</v>
      </c>
    </row>
    <row r="8">
      <c r="A8" t="inlineStr">
        <is>
          <t>COGS</t>
        </is>
      </c>
      <c r="B8" s="5" t="n">
        <v>-30863.2</v>
      </c>
    </row>
    <row r="9">
      <c r="A9" s="9" t="inlineStr">
        <is>
          <t>Gross Profit</t>
        </is>
      </c>
      <c r="B9" s="10" t="n">
        <v>32208.38</v>
      </c>
    </row>
    <row r="10">
      <c r="A10" t="inlineStr">
        <is>
          <t>Amazon Selling Fees</t>
        </is>
      </c>
      <c r="B10" s="5" t="n">
        <v>-12315.54</v>
      </c>
    </row>
    <row r="11">
      <c r="A11" t="inlineStr">
        <is>
          <t>PPC Spend</t>
        </is>
      </c>
      <c r="B11" s="5" t="n">
        <v>-13087.64</v>
      </c>
    </row>
    <row r="12">
      <c r="A12" t="inlineStr">
        <is>
          <t>Storage Fees</t>
        </is>
      </c>
      <c r="B12" s="5" t="n">
        <v>-4495.610000000001</v>
      </c>
    </row>
    <row r="13">
      <c r="A13" t="inlineStr">
        <is>
          <t>Salaries / OPEX</t>
        </is>
      </c>
      <c r="B13" s="5" t="n">
        <v>-2150</v>
      </c>
    </row>
    <row r="14">
      <c r="A14" s="9" t="inlineStr">
        <is>
          <t>Net Income / (Loss)</t>
        </is>
      </c>
      <c r="B14" s="10" t="n">
        <v>159.5899999999983</v>
      </c>
    </row>
  </sheetData>
  <autoFilter ref="A4:B14"/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Dynamic Balance Sheet</t>
        </is>
      </c>
      <c r="B1" s="2" t="n"/>
    </row>
    <row r="2">
      <c r="A2" s="3" t="inlineStr">
        <is>
          <t>Amazon Summary Report</t>
        </is>
      </c>
      <c r="B2" s="2" t="n"/>
    </row>
    <row r="4">
      <c r="A4" s="4" t="inlineStr">
        <is>
          <t>Line Item</t>
        </is>
      </c>
      <c r="B4" s="4" t="inlineStr">
        <is>
          <t>Value</t>
        </is>
      </c>
    </row>
    <row r="5">
      <c r="A5" t="inlineStr">
        <is>
          <t>Cash Asset</t>
        </is>
      </c>
      <c r="B5" s="5" t="n">
        <v>-29684.49</v>
      </c>
    </row>
    <row r="6">
      <c r="A6" t="inlineStr">
        <is>
          <t>Inventory Asset</t>
        </is>
      </c>
      <c r="B6" s="5" t="n">
        <v>6235.799999999999</v>
      </c>
    </row>
    <row r="7">
      <c r="A7" s="9" t="inlineStr">
        <is>
          <t>Total Assets</t>
        </is>
      </c>
      <c r="B7" s="10" t="n">
        <v>-23448.69</v>
      </c>
    </row>
    <row r="8">
      <c r="A8" t="inlineStr">
        <is>
          <t>Accounts Payable</t>
        </is>
      </c>
      <c r="B8" s="5" t="n">
        <v>0</v>
      </c>
    </row>
    <row r="9">
      <c r="A9" t="inlineStr">
        <is>
          <t>Owner's Equity</t>
        </is>
      </c>
      <c r="B9" s="5" t="n">
        <v>-23448.69</v>
      </c>
    </row>
    <row r="10">
      <c r="A10" s="9" t="inlineStr">
        <is>
          <t>Total Liabilities + Equity</t>
        </is>
      </c>
      <c r="B10" s="10" t="n">
        <v>-23448.69</v>
      </c>
    </row>
    <row r="11">
      <c r="A11" s="9" t="inlineStr">
        <is>
          <t>Balance Check</t>
        </is>
      </c>
      <c r="B11" s="10" t="n">
        <v>0</v>
      </c>
    </row>
  </sheetData>
  <autoFilter ref="A4:B11"/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Cash Flow Statement</t>
        </is>
      </c>
      <c r="B1" s="2" t="n"/>
    </row>
    <row r="2">
      <c r="A2" s="3" t="inlineStr">
        <is>
          <t>Amazon Summary Report</t>
        </is>
      </c>
      <c r="B2" s="2" t="n"/>
    </row>
    <row r="4">
      <c r="A4" s="4" t="inlineStr">
        <is>
          <t>Line Item</t>
        </is>
      </c>
      <c r="B4" s="4" t="inlineStr">
        <is>
          <t>Value</t>
        </is>
      </c>
    </row>
    <row r="5">
      <c r="A5" t="inlineStr">
        <is>
          <t>Amazon Settlements / Payouts</t>
        </is>
      </c>
      <c r="B5" s="5" t="n">
        <v>-22772.1</v>
      </c>
    </row>
    <row r="6">
      <c r="A6" t="inlineStr">
        <is>
          <t>External Supplier Payments</t>
        </is>
      </c>
      <c r="B6" s="5" t="n">
        <v>-37099</v>
      </c>
    </row>
    <row r="7">
      <c r="A7" t="inlineStr">
        <is>
          <t>Salaries Paid</t>
        </is>
      </c>
      <c r="B7" s="5" t="n">
        <v>-2150</v>
      </c>
    </row>
    <row r="8">
      <c r="A8" s="9" t="inlineStr">
        <is>
          <t>Operating Cash Flow</t>
        </is>
      </c>
      <c r="B8" s="10" t="n">
        <v>-62021.1</v>
      </c>
    </row>
    <row r="9">
      <c r="A9" t="inlineStr">
        <is>
          <t>Asset Purchases</t>
        </is>
      </c>
      <c r="B9" s="5" t="n">
        <v>-5402.44</v>
      </c>
    </row>
    <row r="10">
      <c r="A10" s="9" t="inlineStr">
        <is>
          <t>Investing Cash Flow</t>
        </is>
      </c>
      <c r="B10" s="10" t="n">
        <v>-5402.44</v>
      </c>
    </row>
    <row r="11">
      <c r="A11" t="inlineStr">
        <is>
          <t>Owner Drawings</t>
        </is>
      </c>
      <c r="B11" s="5" t="n">
        <v>-1899.24</v>
      </c>
    </row>
    <row r="12">
      <c r="A12" s="9" t="inlineStr">
        <is>
          <t>Financing Cash Flow</t>
        </is>
      </c>
      <c r="B12" s="10" t="n">
        <v>-1899.24</v>
      </c>
    </row>
    <row r="13">
      <c r="A13" t="inlineStr">
        <is>
          <t>Opening Bank Balance</t>
        </is>
      </c>
      <c r="B13" s="5" t="n">
        <v>39638.29</v>
      </c>
    </row>
    <row r="14">
      <c r="A14" s="9" t="inlineStr">
        <is>
          <t>Ending Cash</t>
        </is>
      </c>
      <c r="B14" s="10" t="n">
        <v>-29684.49</v>
      </c>
    </row>
  </sheetData>
  <autoFilter ref="A4:B14"/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KPI Dashboard</t>
        </is>
      </c>
      <c r="B1" s="2" t="n"/>
    </row>
    <row r="2">
      <c r="A2" s="3" t="inlineStr">
        <is>
          <t>Amazon Summary Report</t>
        </is>
      </c>
      <c r="B2" s="2" t="n"/>
    </row>
    <row r="4">
      <c r="A4" s="4" t="inlineStr">
        <is>
          <t>Line Item</t>
        </is>
      </c>
      <c r="B4" s="4" t="inlineStr">
        <is>
          <t>Value</t>
        </is>
      </c>
    </row>
    <row r="5">
      <c r="A5" t="inlineStr">
        <is>
          <t>ARR</t>
        </is>
      </c>
      <c r="B5" s="5" t="n">
        <v>756858.96</v>
      </c>
    </row>
    <row r="6">
      <c r="A6" t="inlineStr">
        <is>
          <t>Marketing % of Net Revenue</t>
        </is>
      </c>
      <c r="B6" s="11" t="n">
        <v>0.2075045527637012</v>
      </c>
    </row>
    <row r="7">
      <c r="A7" t="inlineStr">
        <is>
          <t>Blended CPA / CAC</t>
        </is>
      </c>
      <c r="B7" s="5" t="n">
        <v>4.728193641618498</v>
      </c>
    </row>
    <row r="8">
      <c r="A8" t="inlineStr">
        <is>
          <t>Target Achievement %</t>
        </is>
      </c>
      <c r="B8" s="11" t="n">
        <v>0.845403703330381</v>
      </c>
    </row>
    <row r="9">
      <c r="A9" t="inlineStr">
        <is>
          <t>Net Profit Margin</t>
        </is>
      </c>
      <c r="B9" s="11" t="n">
        <v>0.002530299700752674</v>
      </c>
    </row>
    <row r="10">
      <c r="A10" t="inlineStr">
        <is>
          <t>Balance Check</t>
        </is>
      </c>
      <c r="B10" s="5" t="n">
        <v>0</v>
      </c>
    </row>
  </sheetData>
  <autoFilter ref="A4:B10"/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2026-08-22T13:49:56Z</dcterms:created>
  <dcterms:modified xsi:type="dcterms:W3CDTF">2026-08-22T13:49:56Z</dcterms:modified>
</cp:coreProperties>
</file>